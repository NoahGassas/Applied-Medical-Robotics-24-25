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ah\Downloads\"/>
    </mc:Choice>
  </mc:AlternateContent>
  <xr:revisionPtr revIDLastSave="0" documentId="8_{3685F832-0F9B-439A-9AA4-3F2DAF376BB9}" xr6:coauthVersionLast="47" xr6:coauthVersionMax="47" xr10:uidLastSave="{00000000-0000-0000-0000-000000000000}"/>
  <bookViews>
    <workbookView xWindow="-110" yWindow="-110" windowWidth="25820" windowHeight="13900" firstSheet="1" activeTab="1" xr2:uid="{87071494-19F5-4914-B6AC-DBA56DAE43B9}"/>
  </bookViews>
  <sheets>
    <sheet name="Introduction" sheetId="8" r:id="rId1"/>
    <sheet name="Risk Assessment" sheetId="6" r:id="rId2"/>
    <sheet name="Risk Estimation Criteria" sheetId="7" r:id="rId3"/>
    <sheet name="HAZOP checklist" sheetId="5" r:id="rId4"/>
    <sheet name="Hazardous Scenarios" sheetId="4" r:id="rId5"/>
  </sheets>
  <externalReferences>
    <externalReference r:id="rId6"/>
  </externalReferences>
  <definedNames>
    <definedName name="_RM100">[1]Actions!#REF!</definedName>
    <definedName name="ABOVE" comment="The value of the cell above.">INDIRECT(ADDRESS(ROW()-1, COLUMN()))</definedName>
    <definedName name="CritTable">#REF!</definedName>
    <definedName name="DetectionClass">#REF!</definedName>
    <definedName name="DocNum">'[1]Cover Sheet'!$B$5:$D$5</definedName>
    <definedName name="DocTag">CONCATENATE(LEFT(DocNum,(SEARCH("-",DocNum)-1)),RIGHT(DocNum, LEN(DocNum)-SEARCH("-",DocNum)))</definedName>
    <definedName name="Hazards_list">[1]!Hazards[DFMEA Hazard Text]</definedName>
    <definedName name="OccurrenceClass" localSheetId="1">#REF!</definedName>
    <definedName name="OccurrenceClass">#REF!</definedName>
    <definedName name="_xlnm.Print_Area" localSheetId="2">'Risk Estimation Criteria'!$A$1:$AG$25</definedName>
    <definedName name="Probability">'Risk Estimation Criteria'!$A$16:$A$20</definedName>
    <definedName name="RiskTable">'Risk Estimation Criteria'!$S$7:$W$11</definedName>
    <definedName name="ScoredProbability">'Risk Estimation Criteria'!$A$16:$B$20</definedName>
    <definedName name="ScoredSeverity">'Risk Estimation Criteria'!$A$6:$B$10</definedName>
    <definedName name="SeverityClass" localSheetId="1">#REF!</definedName>
    <definedName name="SeverityClass">#REF!</definedName>
    <definedName name="testbox">"Drop Down 3"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6" l="1"/>
  <c r="K8" i="6"/>
  <c r="J10" i="6"/>
  <c r="K10" i="6"/>
  <c r="K7" i="6"/>
  <c r="J7" i="6"/>
  <c r="J9" i="6"/>
  <c r="K9" i="6"/>
  <c r="L9" i="6" s="1"/>
  <c r="J11" i="6"/>
  <c r="K11" i="6"/>
  <c r="J12" i="6"/>
  <c r="K12" i="6"/>
  <c r="K5" i="6"/>
  <c r="K6" i="6"/>
  <c r="K3" i="6"/>
  <c r="J5" i="6"/>
  <c r="J6" i="6"/>
  <c r="J3" i="6"/>
  <c r="M10" i="6" l="1"/>
  <c r="L10" i="6"/>
  <c r="M12" i="6"/>
  <c r="L11" i="6"/>
  <c r="L12" i="6"/>
  <c r="M11" i="6"/>
  <c r="M9" i="6"/>
  <c r="L3" i="6"/>
  <c r="M6" i="6"/>
  <c r="M5" i="6"/>
  <c r="L5" i="6"/>
  <c r="L6" i="6"/>
  <c r="M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queena.lin</author>
  </authors>
  <commentList>
    <comment ref="C1" authorId="0" shapeId="0" xr:uid="{9D6B2B1D-5541-4AA8-82FB-2CA19055459D}">
      <text>
        <r>
          <rPr>
            <b/>
            <sz val="9"/>
            <color indexed="81"/>
            <rFont val="Tahoma"/>
            <family val="2"/>
          </rPr>
          <t>queena.lin:</t>
        </r>
        <r>
          <rPr>
            <sz val="9"/>
            <color indexed="81"/>
            <rFont val="Tahoma"/>
            <family val="2"/>
          </rPr>
          <t xml:space="preserve">
The manner in which the item or operation potentially fails to meet or deliver the intended function or associated requirement </t>
        </r>
      </text>
    </comment>
    <comment ref="D1" authorId="0" shapeId="0" xr:uid="{406A3973-A036-4C90-BC5E-1678E25E6CBA}">
      <text>
        <r>
          <rPr>
            <b/>
            <sz val="9"/>
            <color indexed="81"/>
            <rFont val="Tahoma"/>
            <family val="2"/>
          </rPr>
          <t>queena.lin:</t>
        </r>
        <r>
          <rPr>
            <sz val="9"/>
            <color indexed="81"/>
            <rFont val="Tahoma"/>
            <family val="2"/>
          </rPr>
          <t xml:space="preserve">
The design deficiency that results in the failure mode. The specific reason for the failure. (found by asking "why" until the root cause is determined.</t>
        </r>
      </text>
    </comment>
  </commentList>
</comments>
</file>

<file path=xl/sharedStrings.xml><?xml version="1.0" encoding="utf-8"?>
<sst xmlns="http://schemas.openxmlformats.org/spreadsheetml/2006/main" count="344" uniqueCount="201">
  <si>
    <t>Category</t>
  </si>
  <si>
    <t>ID</t>
  </si>
  <si>
    <t>Item / Function</t>
  </si>
  <si>
    <t>Hazardous Situation</t>
  </si>
  <si>
    <t>Severity</t>
  </si>
  <si>
    <t>Potential
Cause(s)/Mechanism(s) of Failure</t>
  </si>
  <si>
    <t>Occurrence (P1)</t>
  </si>
  <si>
    <t>Justification</t>
  </si>
  <si>
    <t>Criticality</t>
  </si>
  <si>
    <t>Notes</t>
  </si>
  <si>
    <t>Potential Failure Mode</t>
  </si>
  <si>
    <t>Potential Effect(s) of Failure</t>
  </si>
  <si>
    <t>Current Control (Prevention)</t>
  </si>
  <si>
    <t>Negligible</t>
  </si>
  <si>
    <t>Minor</t>
  </si>
  <si>
    <t>Serious</t>
  </si>
  <si>
    <t>Critical</t>
  </si>
  <si>
    <t>Catastrophic</t>
  </si>
  <si>
    <t>Frequent</t>
  </si>
  <si>
    <t>Probable</t>
  </si>
  <si>
    <t xml:space="preserve">Results in injury or impairment requiring professional medical intervention </t>
  </si>
  <si>
    <t>Occasional</t>
  </si>
  <si>
    <t>Results in temporary injury or impairment not requiring professional medical intervention (including significant IT security failure)</t>
  </si>
  <si>
    <t>Remote</t>
  </si>
  <si>
    <t>Inconvenience or temporary discomfort (including minor IT security failure or similar)</t>
  </si>
  <si>
    <t>Improbable</t>
  </si>
  <si>
    <t>Description</t>
  </si>
  <si>
    <t>Probability (P2)</t>
  </si>
  <si>
    <t>Hazardous Scenario</t>
  </si>
  <si>
    <t>On what basis / evidence have you chosen this P1 value?</t>
  </si>
  <si>
    <t>Occurance (P2)</t>
  </si>
  <si>
    <t>Recommended Action / mitigation</t>
  </si>
  <si>
    <t>What features/means are currently inplace to reduce the severity and/or probability of occurance?</t>
  </si>
  <si>
    <t>What can you do to reduce the probability/severity of this situation?</t>
  </si>
  <si>
    <t>Auto (P1xP2xS)</t>
  </si>
  <si>
    <t>Risk Estimation &amp; Evaluation Criteria</t>
  </si>
  <si>
    <t>Table 1: Severity Estimation Levels (Qualitative)</t>
  </si>
  <si>
    <t>Table 2: Probability Estimation Levels (Semi-Quantitative)</t>
  </si>
  <si>
    <t>Severity Ranking</t>
  </si>
  <si>
    <t>Score</t>
  </si>
  <si>
    <t>Severity Description for injuries or damage to the health of people, or damage to property of the environment</t>
  </si>
  <si>
    <t>Results in death</t>
  </si>
  <si>
    <t>Occurs twice per day; "Very high probability - Very likely to happen, often, frequent"</t>
  </si>
  <si>
    <t>Results in permanent impairment or life-threatening injury</t>
  </si>
  <si>
    <t>Occurs twice per week;  "High probability - likely to happen, often, frequent"</t>
  </si>
  <si>
    <t>Occurs monthly;  "Medium probability:  can happen, but not frequently"</t>
  </si>
  <si>
    <t>Occurs yearly; "Low probability: unlikely to happen, rare, remote"</t>
  </si>
  <si>
    <t>Occurs within 10+ years;  "Very low probability: very unlikely to happen, very rare, remote"</t>
  </si>
  <si>
    <t>Table 3: Probability of Occurrence of Harm (POH) Estimation</t>
  </si>
  <si>
    <t>Probability of the Hazard leading to the Hazardous Situation (P1)</t>
  </si>
  <si>
    <t>Probability of a Hazardous Situation Leading to Harm (P2)</t>
  </si>
  <si>
    <t>Table 4: Criteria for Risk Acceptability</t>
  </si>
  <si>
    <t>Probability of Occurrence of Harm</t>
  </si>
  <si>
    <t>Low</t>
  </si>
  <si>
    <t>Medium</t>
  </si>
  <si>
    <t>High</t>
  </si>
  <si>
    <t>What is the possible impact if it were to fail?</t>
  </si>
  <si>
    <t>How could it fail to function correctly?</t>
  </si>
  <si>
    <t>Draw schematic representation of system/subsystem</t>
  </si>
  <si>
    <t>Unique line item for ease of reference (don’t change once assigned!)</t>
  </si>
  <si>
    <t>What function does the system/sub-system need to perform</t>
  </si>
  <si>
    <t>Why might the system/sub-system have failed in this way?</t>
  </si>
  <si>
    <t>Move instrument in response to input</t>
  </si>
  <si>
    <t>Unintended motion when not commanded</t>
  </si>
  <si>
    <t>No motion when commanded</t>
  </si>
  <si>
    <t>Unintended / incorrect motion when commanded</t>
  </si>
  <si>
    <t>Complete surgery using alternative means</t>
  </si>
  <si>
    <t>Guide Word</t>
  </si>
  <si>
    <t>Meaning</t>
  </si>
  <si>
    <t>NO OR NOT</t>
  </si>
  <si>
    <t>Complete negation of the design intent</t>
  </si>
  <si>
    <t>MORE</t>
  </si>
  <si>
    <t>Quantitative increase</t>
  </si>
  <si>
    <t>LESS</t>
  </si>
  <si>
    <t>Quantitative decrease</t>
  </si>
  <si>
    <t>AS WELL AS</t>
  </si>
  <si>
    <t>Qualitative modification/increase</t>
  </si>
  <si>
    <t>PART OF</t>
  </si>
  <si>
    <t>Qualitative modification/decrease</t>
  </si>
  <si>
    <t>REVERSE</t>
  </si>
  <si>
    <t>Logical opposite of the design intent</t>
  </si>
  <si>
    <t>OTHER THAN / INSTEAD</t>
  </si>
  <si>
    <t>Complete substitution</t>
  </si>
  <si>
    <t>EARLY</t>
  </si>
  <si>
    <t>Relative to the clock time</t>
  </si>
  <si>
    <t>LATE</t>
  </si>
  <si>
    <t>BEFORE</t>
  </si>
  <si>
    <t>Relating to order or sequence</t>
  </si>
  <si>
    <t>AFTER</t>
  </si>
  <si>
    <t>Auto (Hazardous Situation)</t>
  </si>
  <si>
    <t>What Harm might result if this failed?</t>
  </si>
  <si>
    <t>How likely is this failure to occur?</t>
  </si>
  <si>
    <t>EXAMPLE-01</t>
  </si>
  <si>
    <t>EXAMPLE-02</t>
  </si>
  <si>
    <t>EXAMPLE-03</t>
  </si>
  <si>
    <t>HS-01 Short delay</t>
  </si>
  <si>
    <t>HS-02 Long delay / conversion</t>
  </si>
  <si>
    <t>Software failure</t>
  </si>
  <si>
    <t>Agree likely Harm</t>
  </si>
  <si>
    <t>Estimate P1</t>
  </si>
  <si>
    <t>Propose possible mitigations</t>
  </si>
  <si>
    <t>List the primary functions that the system/subsystem has to perform (consider interfaces to other systems/users in this)</t>
  </si>
  <si>
    <t>Receive commands</t>
  </si>
  <si>
    <t>Mounting to a base</t>
  </si>
  <si>
    <t>Set up proceedure</t>
  </si>
  <si>
    <t>Motion and control</t>
  </si>
  <si>
    <t>Reach stiffness and loading</t>
  </si>
  <si>
    <t>This worksheet contains several tabs:</t>
  </si>
  <si>
    <t>Hazardous Scenarios</t>
  </si>
  <si>
    <t>List of possible hazards with Severity and P2 scoring listed.</t>
  </si>
  <si>
    <t>Risk Estimation Criteria</t>
  </si>
  <si>
    <t>Summary of the different scoring levels and how they link together</t>
  </si>
  <si>
    <t>Risk Assessment</t>
  </si>
  <si>
    <t>The main tab to undertake the analysis</t>
  </si>
  <si>
    <t>A checklist of prompts to stimulate ideas about how things could fail</t>
  </si>
  <si>
    <t>Introduction</t>
  </si>
  <si>
    <t>This tab</t>
  </si>
  <si>
    <t>Note these are prefixed with an ID number to aid uniqueness</t>
  </si>
  <si>
    <t>HAZOP checklist</t>
  </si>
  <si>
    <t>For one of the following functions:</t>
  </si>
  <si>
    <t>Task 1</t>
  </si>
  <si>
    <t>Task 2</t>
  </si>
  <si>
    <t>Complete columns A-D, G, H and N in the Risk Assessment worksheet. That means:</t>
  </si>
  <si>
    <t>Think about possible failure modes (consider HAZOP checklist)</t>
  </si>
  <si>
    <t>The aim of this exercise is to undertake a basic system-level failure mode effects analysis (FMEA).</t>
  </si>
  <si>
    <t>A list of key words to help assess hazards and prompt ideas for how things could fail</t>
  </si>
  <si>
    <t>Hold a tool</t>
  </si>
  <si>
    <t>HS-07 Excessive force</t>
  </si>
  <si>
    <t>Excessive force applied to patient leading to injury</t>
  </si>
  <si>
    <t>Delay of &lt;2mins while system is rectified</t>
  </si>
  <si>
    <t>Delay of &gt;2mins while system is rectified; or, system unavailable, operator has to complete proceedure with alternative means</t>
  </si>
  <si>
    <t>HS-09 Patient exposed to electrical voltage / current</t>
  </si>
  <si>
    <t>HS-10 Operator exposed to electrical voltage / current</t>
  </si>
  <si>
    <t>HS-11 Thermal injury to patient</t>
  </si>
  <si>
    <t>HS-12 Thermal injury to operator</t>
  </si>
  <si>
    <t>HS-13 Interference with other OR equipment</t>
  </si>
  <si>
    <t>HS-15 Lose parts inside patient</t>
  </si>
  <si>
    <t>Tool or system failure leads to parts inside patient</t>
  </si>
  <si>
    <t>Patient exposed to high temperatures leading to burn internal/external</t>
  </si>
  <si>
    <t>Patient exposed to electrical energy leading to electric shock</t>
  </si>
  <si>
    <t>Operator exposed to electrical energy leading to electric shock</t>
  </si>
  <si>
    <t>Operator exposed to high temperatures leading to burn</t>
  </si>
  <si>
    <t>HS-08 Incorrect feedback to operator</t>
  </si>
  <si>
    <t>Operator is given incorrect information leading to errors in surgery</t>
  </si>
  <si>
    <t>System causes interference with other systems in the OR, mis-managed response to patient status from OR team</t>
  </si>
  <si>
    <t>HS-14 Break in sterility</t>
  </si>
  <si>
    <t>Failure to maintain sterile field, patient exposed to infection risk</t>
  </si>
  <si>
    <t>Small motion of tool tip (&lt;10mm) not commanded by the user, user not in control</t>
  </si>
  <si>
    <t>Large motion of tool tip  (&gt;10mm) not commanded by the user, user not in control</t>
  </si>
  <si>
    <t>Small motion of tool tip (&lt;10mm) not in the direction intended by the user, user in control</t>
  </si>
  <si>
    <t>Large motion of tool tip (&gt;10mm) not in the direction intended by the user, user in control</t>
  </si>
  <si>
    <t>HS-03 Small uncontrolled motion at tool tip</t>
  </si>
  <si>
    <t>HS-04 Large uncontrolled motion at tool tip</t>
  </si>
  <si>
    <t>HS-05 Small unintended motion at tool tip</t>
  </si>
  <si>
    <t>HS-06 Large unintended motion at tool tip</t>
  </si>
  <si>
    <t>HS-16 Operator injury</t>
  </si>
  <si>
    <t>Operator injury due to excessive motion of system outside patient; sharp edges</t>
  </si>
  <si>
    <t>Consider at least 3 failure modes and propose mititgations for these</t>
  </si>
  <si>
    <t>EXAMPLE - 04</t>
  </si>
  <si>
    <t>Short circuit</t>
  </si>
  <si>
    <t>Excessive heating of electrical components</t>
  </si>
  <si>
    <t>Check that motor wires and power adapter are connected and that the power supply is turned on.</t>
  </si>
  <si>
    <t>Base</t>
  </si>
  <si>
    <t>Robot topples over</t>
  </si>
  <si>
    <t>HS-17 Structural failure of robot</t>
  </si>
  <si>
    <t>Structural collapse or breakage of robot or robot components</t>
  </si>
  <si>
    <t>EXAMPLE-06</t>
  </si>
  <si>
    <t>Injury to operator</t>
  </si>
  <si>
    <t>Splinters/sharp remnants of 3D printed support structure</t>
  </si>
  <si>
    <t>EXAMPLE - 05</t>
  </si>
  <si>
    <t>EXAMPLE-07</t>
  </si>
  <si>
    <t>Electrical shock</t>
  </si>
  <si>
    <t>Improper use of electrical equipment (e.g. introduction of water into circuit), broken electrical equipment</t>
  </si>
  <si>
    <t>Arm 1</t>
  </si>
  <si>
    <t>Arm 2</t>
  </si>
  <si>
    <t>EXAMPLE-08</t>
  </si>
  <si>
    <t>EXAMPLE-09</t>
  </si>
  <si>
    <t>Unstable integration of arm 1 to base and motor 1 shaft</t>
  </si>
  <si>
    <t>Unstable integration of arm 2 to arm 1 and motor 2 shaft, unstable fixing of pen to arm 2</t>
  </si>
  <si>
    <t>Wrap the exposed metal at the ends of the wires in tape to prevent short circuits. Check for short circuits using multimeter.</t>
  </si>
  <si>
    <t>Unstable base, forceful collision of tool with environment</t>
  </si>
  <si>
    <t>Remove support using tools before implementing to robot.</t>
  </si>
  <si>
    <t>Consider the risk of interaction with environment before running the robot.</t>
  </si>
  <si>
    <t>Unintended tilt of tool tip</t>
  </si>
  <si>
    <t>HS-18 Unintended orientation of tool tip</t>
  </si>
  <si>
    <t>Tool tip tilt leads to inaccuracy of output</t>
  </si>
  <si>
    <t>Redesign arm 1 to include counter-balance, or fix arm 1 to the base with more precision.</t>
  </si>
  <si>
    <t>Redesign mechanism by which pen is fixed to arm 2.</t>
  </si>
  <si>
    <t>Circuitry / Power supply to robot</t>
  </si>
  <si>
    <t>No power to motors, inadequate interaction of motor shaft to arms</t>
  </si>
  <si>
    <t>Keep liquids far away from robot. Turn the electrical power off while plugging in adapter.</t>
  </si>
  <si>
    <t>3D printed components</t>
  </si>
  <si>
    <t>Delay before motion is carried out</t>
  </si>
  <si>
    <t>For some desired points, there can be a delay of &lt;10 seconds before motion begins</t>
  </si>
  <si>
    <t>Food and drink is not allowed in the lab, reducing the chance of occurrence (P1).</t>
  </si>
  <si>
    <t>The exposed metal of connecting wires has been wrapped in tape.</t>
  </si>
  <si>
    <t>Can cause systemic innacuracy at the tool tip.</t>
  </si>
  <si>
    <t>Failure of encoder</t>
  </si>
  <si>
    <t>Check that the encoders are accurate, and if not then replace the motor.</t>
  </si>
  <si>
    <t>Likely an operation issue or a software issue.</t>
  </si>
  <si>
    <t xml:space="preserve">Check software for potential causes of a delay.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</si>
</sst>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202122"/>
      <name val="Calibri"/>
      <family val="2"/>
      <scheme val="minor"/>
    </font>
    <font>
      <b/>
      <sz val="14"/>
      <color rgb="FF20212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FDFE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D7EF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16" borderId="0" applyNumberFormat="0" applyBorder="0" applyAlignment="0" applyProtection="0"/>
  </cellStyleXfs>
  <cellXfs count="6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textRotation="90" wrapText="1"/>
      <protection locked="0"/>
    </xf>
    <xf numFmtId="0" fontId="0" fillId="0" borderId="0" xfId="0" applyAlignment="1" applyProtection="1">
      <alignment horizontal="center" vertical="center" textRotation="90" wrapText="1"/>
      <protection locked="0"/>
    </xf>
    <xf numFmtId="0" fontId="7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horizontal="center" textRotation="90"/>
    </xf>
    <xf numFmtId="0" fontId="0" fillId="0" borderId="3" xfId="0" applyBorder="1"/>
    <xf numFmtId="0" fontId="9" fillId="0" borderId="0" xfId="0" applyFont="1" applyAlignment="1">
      <alignment vertic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 applyProtection="1">
      <alignment horizontal="left" vertical="center" textRotation="90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0" fillId="0" borderId="1" xfId="0" applyBorder="1" applyAlignment="1">
      <alignment vertical="top" wrapText="1"/>
    </xf>
    <xf numFmtId="0" fontId="10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14" borderId="0" xfId="0" applyFill="1"/>
    <xf numFmtId="0" fontId="0" fillId="14" borderId="1" xfId="0" applyFill="1" applyBorder="1"/>
    <xf numFmtId="0" fontId="12" fillId="14" borderId="0" xfId="0" applyFont="1" applyFill="1"/>
    <xf numFmtId="0" fontId="13" fillId="14" borderId="1" xfId="0" applyFont="1" applyFill="1" applyBorder="1" applyAlignment="1">
      <alignment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7" fillId="14" borderId="0" xfId="0" applyFont="1" applyFill="1"/>
    <xf numFmtId="0" fontId="0" fillId="0" borderId="0" xfId="0" applyAlignment="1">
      <alignment vertical="center" wrapText="1"/>
    </xf>
    <xf numFmtId="0" fontId="7" fillId="14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0" fontId="0" fillId="0" borderId="5" xfId="0" applyBorder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4" borderId="5" xfId="0" applyFill="1" applyBorder="1" applyAlignment="1">
      <alignment vertical="center" wrapText="1"/>
    </xf>
    <xf numFmtId="0" fontId="1" fillId="16" borderId="0" xfId="1" applyAlignment="1">
      <alignment vertical="center" wrapText="1"/>
    </xf>
    <xf numFmtId="0" fontId="0" fillId="14" borderId="0" xfId="0" applyFill="1" applyAlignment="1">
      <alignment horizontal="left"/>
    </xf>
    <xf numFmtId="0" fontId="2" fillId="0" borderId="0" xfId="0" applyFont="1" applyAlignment="1">
      <alignment horizontal="center" textRotation="90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6" borderId="1" xfId="0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2">
    <cellStyle name="40% - Accent3" xfId="1" builtinId="39"/>
    <cellStyle name="Normal" xfId="0" builtinId="0"/>
  </cellStyles>
  <dxfs count="15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MR%20Prod\ID2\0C4550F0-992D-4718-BA9E-48A08BA46738\0\2000-2999\2145\L\L\RM-00008v9.13%20Arm%20Joint%20DFMEA%20(ID%20214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FMEA Instructions"/>
      <sheetName val="Revision History"/>
      <sheetName val="Instructions"/>
      <sheetName val="FMEA (Design) "/>
      <sheetName val="Controls"/>
      <sheetName val="Actions"/>
      <sheetName val="Definitions"/>
      <sheetName val="Clinical Hazards"/>
      <sheetName val="RM-00008v9"/>
    </sheetNames>
    <sheetDataSet>
      <sheetData sheetId="0">
        <row r="5">
          <cell r="B5" t="str">
            <v>RM-008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679130-C45F-4DCA-8522-3C2E6603A677}" name="Hazardous_scenarios" displayName="Hazardous_scenarios" ref="A4:D22" totalsRowShown="0" headerRowDxfId="14" dataDxfId="13">
  <autoFilter ref="A4:D22" xr:uid="{EA679130-C45F-4DCA-8522-3C2E6603A677}"/>
  <tableColumns count="4">
    <tableColumn id="5" xr3:uid="{85E50900-4A24-48C6-A588-1647608B78EE}" name="Hazardous Scenario" dataDxfId="12"/>
    <tableColumn id="2" xr3:uid="{3D5D87F0-D6FB-4AF4-B147-027A42C6D784}" name="Description" dataDxfId="11"/>
    <tableColumn id="3" xr3:uid="{98313C0A-1A85-4412-A35D-ECF082DF4702}" name="Severity" dataDxfId="10"/>
    <tableColumn id="4" xr3:uid="{2401238C-68B8-423E-87D3-51D8DFE55B96}" name="Probability (P2)" dataDxfId="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D288-10FB-4293-A24F-DC43F3EEF696}">
  <dimension ref="B2:C31"/>
  <sheetViews>
    <sheetView workbookViewId="0">
      <selection activeCell="B32" sqref="B32"/>
    </sheetView>
  </sheetViews>
  <sheetFormatPr defaultColWidth="8.81640625" defaultRowHeight="14.5" x14ac:dyDescent="0.35"/>
  <cols>
    <col min="1" max="1" width="8.81640625" style="40"/>
    <col min="2" max="2" width="24.54296875" style="40" customWidth="1"/>
    <col min="3" max="3" width="63.26953125" style="40" customWidth="1"/>
    <col min="4" max="16384" width="8.81640625" style="40"/>
  </cols>
  <sheetData>
    <row r="2" spans="2:3" ht="21" x14ac:dyDescent="0.5">
      <c r="B2" s="42" t="s">
        <v>115</v>
      </c>
    </row>
    <row r="3" spans="2:3" x14ac:dyDescent="0.35">
      <c r="B3" s="53" t="s">
        <v>124</v>
      </c>
      <c r="C3" s="53"/>
    </row>
    <row r="5" spans="2:3" x14ac:dyDescent="0.35">
      <c r="B5" s="53" t="s">
        <v>107</v>
      </c>
      <c r="C5" s="53"/>
    </row>
    <row r="6" spans="2:3" x14ac:dyDescent="0.35">
      <c r="B6" s="41" t="s">
        <v>115</v>
      </c>
      <c r="C6" s="41" t="s">
        <v>116</v>
      </c>
    </row>
    <row r="7" spans="2:3" x14ac:dyDescent="0.35">
      <c r="B7" s="41" t="s">
        <v>108</v>
      </c>
      <c r="C7" s="41" t="s">
        <v>109</v>
      </c>
    </row>
    <row r="8" spans="2:3" x14ac:dyDescent="0.35">
      <c r="B8" s="41" t="s">
        <v>110</v>
      </c>
      <c r="C8" s="41" t="s">
        <v>111</v>
      </c>
    </row>
    <row r="9" spans="2:3" x14ac:dyDescent="0.35">
      <c r="B9" s="41" t="s">
        <v>112</v>
      </c>
      <c r="C9" s="41" t="s">
        <v>113</v>
      </c>
    </row>
    <row r="10" spans="2:3" x14ac:dyDescent="0.35">
      <c r="B10" s="41" t="s">
        <v>118</v>
      </c>
      <c r="C10" s="41" t="s">
        <v>114</v>
      </c>
    </row>
    <row r="12" spans="2:3" ht="21" x14ac:dyDescent="0.5">
      <c r="B12" s="42" t="s">
        <v>120</v>
      </c>
    </row>
    <row r="13" spans="2:3" x14ac:dyDescent="0.35">
      <c r="B13" s="53" t="s">
        <v>58</v>
      </c>
      <c r="C13" s="53"/>
    </row>
    <row r="14" spans="2:3" x14ac:dyDescent="0.35">
      <c r="B14" s="53" t="s">
        <v>101</v>
      </c>
      <c r="C14" s="53"/>
    </row>
    <row r="16" spans="2:3" ht="21" x14ac:dyDescent="0.5">
      <c r="B16" s="42" t="s">
        <v>121</v>
      </c>
    </row>
    <row r="17" spans="2:3" x14ac:dyDescent="0.35">
      <c r="B17" s="40" t="s">
        <v>119</v>
      </c>
    </row>
    <row r="18" spans="2:3" x14ac:dyDescent="0.35">
      <c r="B18" s="41" t="s">
        <v>105</v>
      </c>
    </row>
    <row r="19" spans="2:3" x14ac:dyDescent="0.35">
      <c r="B19" s="41" t="s">
        <v>126</v>
      </c>
    </row>
    <row r="20" spans="2:3" x14ac:dyDescent="0.35">
      <c r="B20" s="41" t="s">
        <v>102</v>
      </c>
    </row>
    <row r="21" spans="2:3" x14ac:dyDescent="0.35">
      <c r="B21" s="41" t="s">
        <v>103</v>
      </c>
    </row>
    <row r="22" spans="2:3" x14ac:dyDescent="0.35">
      <c r="B22" s="41" t="s">
        <v>104</v>
      </c>
    </row>
    <row r="23" spans="2:3" x14ac:dyDescent="0.35">
      <c r="B23" s="41" t="s">
        <v>106</v>
      </c>
    </row>
    <row r="25" spans="2:3" x14ac:dyDescent="0.35">
      <c r="B25" s="53" t="s">
        <v>122</v>
      </c>
      <c r="C25" s="53"/>
    </row>
    <row r="26" spans="2:3" x14ac:dyDescent="0.35">
      <c r="B26" s="53" t="s">
        <v>123</v>
      </c>
      <c r="C26" s="53"/>
    </row>
    <row r="27" spans="2:3" x14ac:dyDescent="0.35">
      <c r="B27" s="53" t="s">
        <v>98</v>
      </c>
      <c r="C27" s="53"/>
    </row>
    <row r="28" spans="2:3" x14ac:dyDescent="0.35">
      <c r="B28" s="53" t="s">
        <v>99</v>
      </c>
      <c r="C28" s="53"/>
    </row>
    <row r="29" spans="2:3" x14ac:dyDescent="0.35">
      <c r="B29" s="53" t="s">
        <v>100</v>
      </c>
      <c r="C29" s="53"/>
    </row>
    <row r="31" spans="2:3" x14ac:dyDescent="0.35">
      <c r="B31" s="40" t="s">
        <v>157</v>
      </c>
    </row>
  </sheetData>
  <mergeCells count="9">
    <mergeCell ref="B28:C28"/>
    <mergeCell ref="B29:C29"/>
    <mergeCell ref="B25:C25"/>
    <mergeCell ref="B3:C3"/>
    <mergeCell ref="B5:C5"/>
    <mergeCell ref="B13:C13"/>
    <mergeCell ref="B14:C14"/>
    <mergeCell ref="B26:C26"/>
    <mergeCell ref="B27:C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3D86B-C306-4091-AA68-1AA28BE846DE}">
  <dimension ref="A1:X17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T8" sqref="T8"/>
    </sheetView>
  </sheetViews>
  <sheetFormatPr defaultColWidth="9.1796875" defaultRowHeight="14.5" x14ac:dyDescent="0.35"/>
  <cols>
    <col min="1" max="1" width="12.453125" style="7" customWidth="1"/>
    <col min="2" max="2" width="19.81640625" style="7" customWidth="1"/>
    <col min="3" max="4" width="29.81640625" style="7" customWidth="1"/>
    <col min="5" max="6" width="29.81640625" style="7" hidden="1" customWidth="1"/>
    <col min="7" max="7" width="25.81640625" style="7" customWidth="1"/>
    <col min="8" max="8" width="16.7265625" style="39" customWidth="1"/>
    <col min="9" max="9" width="26.453125" style="39" hidden="1" customWidth="1"/>
    <col min="10" max="11" width="16.7265625" style="39" customWidth="1"/>
    <col min="12" max="12" width="11.7265625" style="39" customWidth="1"/>
    <col min="13" max="13" width="12.453125" style="39" customWidth="1"/>
    <col min="14" max="14" width="34.1796875" style="7" customWidth="1"/>
    <col min="15" max="15" width="31.7265625" style="7" customWidth="1"/>
    <col min="16" max="16384" width="9.1796875" style="7"/>
  </cols>
  <sheetData>
    <row r="1" spans="1:24" s="34" customFormat="1" ht="99" customHeight="1" x14ac:dyDescent="0.35">
      <c r="A1" s="9" t="s">
        <v>1</v>
      </c>
      <c r="B1" s="9" t="s">
        <v>2</v>
      </c>
      <c r="C1" s="9" t="s">
        <v>10</v>
      </c>
      <c r="D1" s="9" t="s">
        <v>5</v>
      </c>
      <c r="E1" s="9" t="s">
        <v>11</v>
      </c>
      <c r="F1" s="9" t="s">
        <v>12</v>
      </c>
      <c r="G1" s="9" t="s">
        <v>3</v>
      </c>
      <c r="H1" s="9" t="s">
        <v>6</v>
      </c>
      <c r="I1" s="9" t="s">
        <v>7</v>
      </c>
      <c r="J1" s="9" t="s">
        <v>4</v>
      </c>
      <c r="K1" s="9" t="s">
        <v>30</v>
      </c>
      <c r="L1" s="9" t="s">
        <v>39</v>
      </c>
      <c r="M1" s="9" t="s">
        <v>8</v>
      </c>
      <c r="N1" s="9" t="s">
        <v>31</v>
      </c>
      <c r="O1" s="9" t="s">
        <v>9</v>
      </c>
      <c r="P1" s="1"/>
      <c r="Q1" s="2"/>
      <c r="R1" s="3"/>
      <c r="S1" s="3"/>
      <c r="T1" s="4"/>
      <c r="U1" s="4"/>
      <c r="V1" s="33"/>
      <c r="W1" s="33"/>
      <c r="X1" s="33"/>
    </row>
    <row r="2" spans="1:24" ht="87" x14ac:dyDescent="0.35">
      <c r="A2" s="36" t="s">
        <v>59</v>
      </c>
      <c r="B2" s="36" t="s">
        <v>60</v>
      </c>
      <c r="C2" s="36" t="s">
        <v>57</v>
      </c>
      <c r="D2" s="36" t="s">
        <v>61</v>
      </c>
      <c r="E2" s="36" t="s">
        <v>56</v>
      </c>
      <c r="F2" s="36" t="s">
        <v>32</v>
      </c>
      <c r="G2" s="36" t="s">
        <v>90</v>
      </c>
      <c r="H2" s="36" t="s">
        <v>91</v>
      </c>
      <c r="I2" s="36" t="s">
        <v>29</v>
      </c>
      <c r="J2" s="36" t="s">
        <v>89</v>
      </c>
      <c r="K2" s="36" t="s">
        <v>89</v>
      </c>
      <c r="L2" s="36" t="s">
        <v>34</v>
      </c>
      <c r="M2" s="36" t="s">
        <v>34</v>
      </c>
      <c r="N2" s="36" t="s">
        <v>33</v>
      </c>
      <c r="O2" s="36"/>
    </row>
    <row r="3" spans="1:24" ht="43.5" x14ac:dyDescent="0.35">
      <c r="A3" s="35" t="s">
        <v>92</v>
      </c>
      <c r="B3" s="35" t="s">
        <v>62</v>
      </c>
      <c r="C3" s="35" t="s">
        <v>64</v>
      </c>
      <c r="D3" s="35" t="s">
        <v>189</v>
      </c>
      <c r="E3" s="35" t="s">
        <v>66</v>
      </c>
      <c r="F3" s="35"/>
      <c r="G3" s="35" t="s">
        <v>96</v>
      </c>
      <c r="H3" s="37" t="s">
        <v>21</v>
      </c>
      <c r="I3" s="37"/>
      <c r="J3" s="38" t="str">
        <f>VLOOKUP(G3,Hazardous_scenarios[],3)</f>
        <v>Negligible</v>
      </c>
      <c r="K3" s="38" t="str">
        <f>VLOOKUP(G3,Hazardous_scenarios[],4)</f>
        <v>Probable</v>
      </c>
      <c r="L3" s="38">
        <f>ROUNDUP((INDEX('Risk Estimation Criteria'!$J$6:$K$10,MATCH('Risk Assessment'!H3,'Risk Estimation Criteria'!$J$6:$J$10,0),2)*INDEX('Risk Estimation Criteria'!$J$6:$K$10,MATCH('Risk Assessment'!K3,'Risk Estimation Criteria'!$J$6:$J$10,0),2))/5,0)*INDEX(ScoredSeverity,MATCH('Risk Assessment'!J3,'Risk Estimation Criteria'!$A$6:$A$10,0),2)</f>
        <v>3</v>
      </c>
      <c r="M3" s="37" t="str">
        <f>INDEX('Risk Estimation Criteria'!$C$26:$G$30,MATCH(INDEX('Risk Estimation Criteria'!$C$16:$G$20,MATCH('Risk Assessment'!K3,'Risk Estimation Criteria'!$C$15:$G$15,0),MATCH('Risk Assessment'!H3,'Risk Estimation Criteria'!$B$16:$B$20,0)),'Risk Estimation Criteria'!$B$26:$B$30,0),MATCH('Risk Assessment'!J3,'Risk Estimation Criteria'!$C$25:$G$25,0))</f>
        <v>Low</v>
      </c>
      <c r="N3" s="35" t="s">
        <v>161</v>
      </c>
      <c r="O3" s="35"/>
    </row>
    <row r="4" spans="1:24" ht="43.5" x14ac:dyDescent="0.35">
      <c r="A4" s="35" t="s">
        <v>93</v>
      </c>
      <c r="B4" s="35"/>
      <c r="C4" s="35" t="s">
        <v>192</v>
      </c>
      <c r="D4" s="35" t="s">
        <v>193</v>
      </c>
      <c r="E4" s="35"/>
      <c r="F4" s="35"/>
      <c r="G4" s="35" t="s">
        <v>95</v>
      </c>
      <c r="H4" s="37" t="s">
        <v>18</v>
      </c>
      <c r="I4" s="37"/>
      <c r="J4" s="38" t="s">
        <v>13</v>
      </c>
      <c r="K4" s="38" t="s">
        <v>18</v>
      </c>
      <c r="L4" s="38">
        <v>2</v>
      </c>
      <c r="M4" s="37" t="s">
        <v>53</v>
      </c>
      <c r="N4" s="35" t="s">
        <v>200</v>
      </c>
      <c r="O4" s="35"/>
    </row>
    <row r="5" spans="1:24" ht="29" x14ac:dyDescent="0.35">
      <c r="A5" s="35" t="s">
        <v>93</v>
      </c>
      <c r="B5" s="35"/>
      <c r="C5" s="35" t="s">
        <v>65</v>
      </c>
      <c r="D5" s="35" t="s">
        <v>197</v>
      </c>
      <c r="E5" s="35"/>
      <c r="F5" s="35"/>
      <c r="G5" s="35" t="s">
        <v>151</v>
      </c>
      <c r="H5" s="37" t="s">
        <v>18</v>
      </c>
      <c r="I5" s="37"/>
      <c r="J5" s="38" t="str">
        <f>VLOOKUP(G5,Hazardous_scenarios[],3)</f>
        <v>Negligible</v>
      </c>
      <c r="K5" s="38" t="str">
        <f>VLOOKUP(G5,Hazardous_scenarios[],4)</f>
        <v>Probable</v>
      </c>
      <c r="L5" s="38">
        <f>ROUNDUP((INDEX('Risk Estimation Criteria'!$J$6:$K$10,MATCH('Risk Assessment'!H5,'Risk Estimation Criteria'!$J$6:$J$10,0),2)*INDEX('Risk Estimation Criteria'!$J$6:$K$10,MATCH('Risk Assessment'!K5,'Risk Estimation Criteria'!$J$6:$J$10,0),2))/5,0)*INDEX(ScoredSeverity,MATCH('Risk Assessment'!J5,'Risk Estimation Criteria'!$A$6:$A$10,0),2)</f>
        <v>4</v>
      </c>
      <c r="M5" s="37" t="str">
        <f>INDEX('Risk Estimation Criteria'!$C$26:$G$30,MATCH(INDEX('Risk Estimation Criteria'!$C$16:$G$20,MATCH('Risk Assessment'!K5,'Risk Estimation Criteria'!$C$15:$G$15,0),MATCH('Risk Assessment'!H5,'Risk Estimation Criteria'!$B$16:$B$20,0)),'Risk Estimation Criteria'!$B$26:$B$30,0),MATCH('Risk Assessment'!J5,'Risk Estimation Criteria'!$C$25:$G$25,0))</f>
        <v>Low</v>
      </c>
      <c r="N5" s="35" t="s">
        <v>198</v>
      </c>
      <c r="O5" s="35"/>
    </row>
    <row r="6" spans="1:24" ht="29" x14ac:dyDescent="0.35">
      <c r="A6" s="35" t="s">
        <v>94</v>
      </c>
      <c r="B6" s="35"/>
      <c r="C6" s="35" t="s">
        <v>63</v>
      </c>
      <c r="D6" s="35" t="s">
        <v>97</v>
      </c>
      <c r="E6" s="35"/>
      <c r="F6" s="35"/>
      <c r="G6" s="35" t="s">
        <v>152</v>
      </c>
      <c r="H6" s="37" t="s">
        <v>21</v>
      </c>
      <c r="I6" s="37"/>
      <c r="J6" s="38" t="str">
        <f>VLOOKUP(G6,Hazardous_scenarios[],3)</f>
        <v>Negligible</v>
      </c>
      <c r="K6" s="38" t="str">
        <f>VLOOKUP(G6,Hazardous_scenarios[],4)</f>
        <v>Probable</v>
      </c>
      <c r="L6" s="38">
        <f>ROUNDUP((INDEX('Risk Estimation Criteria'!$J$6:$K$10,MATCH('Risk Assessment'!H6,'Risk Estimation Criteria'!$J$6:$J$10,0),2)*INDEX('Risk Estimation Criteria'!$J$6:$K$10,MATCH('Risk Assessment'!K6,'Risk Estimation Criteria'!$J$6:$J$10,0),2))/5,0)*INDEX(ScoredSeverity,MATCH('Risk Assessment'!J6,'Risk Estimation Criteria'!$A$6:$A$10,0),2)</f>
        <v>3</v>
      </c>
      <c r="M6" s="37" t="str">
        <f>INDEX('Risk Estimation Criteria'!$C$26:$G$30,MATCH(INDEX('Risk Estimation Criteria'!$C$16:$G$20,MATCH('Risk Assessment'!K6,'Risk Estimation Criteria'!$C$15:$G$15,0),MATCH('Risk Assessment'!H6,'Risk Estimation Criteria'!$B$16:$B$20,0)),'Risk Estimation Criteria'!$B$26:$B$30,0),MATCH('Risk Assessment'!J6,'Risk Estimation Criteria'!$C$25:$G$25,0))</f>
        <v>Low</v>
      </c>
      <c r="N6" s="35" t="s">
        <v>199</v>
      </c>
      <c r="O6" s="35"/>
    </row>
    <row r="7" spans="1:24" ht="58" x14ac:dyDescent="0.35">
      <c r="A7" s="35" t="s">
        <v>158</v>
      </c>
      <c r="B7" s="35" t="s">
        <v>188</v>
      </c>
      <c r="C7" s="35" t="s">
        <v>160</v>
      </c>
      <c r="D7" s="35" t="s">
        <v>159</v>
      </c>
      <c r="E7" s="35"/>
      <c r="F7" s="35"/>
      <c r="G7" s="49" t="s">
        <v>134</v>
      </c>
      <c r="H7" s="37" t="s">
        <v>21</v>
      </c>
      <c r="I7" s="37"/>
      <c r="J7" s="38" t="str">
        <f>VLOOKUP(G7,Hazardous_scenarios[],3)</f>
        <v>Minor</v>
      </c>
      <c r="K7" s="38" t="str">
        <f>VLOOKUP(G7,Hazardous_scenarios[],4)</f>
        <v>Probable</v>
      </c>
      <c r="L7" s="38">
        <v>6</v>
      </c>
      <c r="M7" s="37" t="s">
        <v>53</v>
      </c>
      <c r="N7" s="35" t="s">
        <v>179</v>
      </c>
      <c r="O7" s="35" t="s">
        <v>195</v>
      </c>
    </row>
    <row r="8" spans="1:24" ht="58" x14ac:dyDescent="0.35">
      <c r="A8" s="35" t="s">
        <v>169</v>
      </c>
      <c r="B8" s="35"/>
      <c r="C8" s="35" t="s">
        <v>171</v>
      </c>
      <c r="D8" s="35" t="s">
        <v>172</v>
      </c>
      <c r="E8" s="35"/>
      <c r="F8" s="35"/>
      <c r="G8" s="49" t="s">
        <v>132</v>
      </c>
      <c r="H8" s="37" t="s">
        <v>23</v>
      </c>
      <c r="I8" s="37"/>
      <c r="J8" s="38" t="str">
        <f>VLOOKUP(G8,Hazardous_scenarios[],3)</f>
        <v>Critical</v>
      </c>
      <c r="K8" s="38" t="str">
        <f>VLOOKUP(G8,Hazardous_scenarios[],4)</f>
        <v>Probable</v>
      </c>
      <c r="L8" s="38">
        <v>8</v>
      </c>
      <c r="M8" s="37" t="s">
        <v>54</v>
      </c>
      <c r="N8" s="35" t="s">
        <v>190</v>
      </c>
      <c r="O8" s="35" t="s">
        <v>194</v>
      </c>
    </row>
    <row r="9" spans="1:24" ht="29" x14ac:dyDescent="0.35">
      <c r="A9" s="35" t="s">
        <v>166</v>
      </c>
      <c r="B9" s="35" t="s">
        <v>191</v>
      </c>
      <c r="C9" s="35" t="s">
        <v>167</v>
      </c>
      <c r="D9" s="35" t="s">
        <v>168</v>
      </c>
      <c r="E9" s="35"/>
      <c r="F9" s="35"/>
      <c r="G9" s="49" t="s">
        <v>155</v>
      </c>
      <c r="H9" s="37" t="s">
        <v>21</v>
      </c>
      <c r="I9" s="37"/>
      <c r="J9" s="38" t="str">
        <f>VLOOKUP(G9,Hazardous_scenarios[],3)</f>
        <v>Minor</v>
      </c>
      <c r="K9" s="38" t="str">
        <f>VLOOKUP(G9,Hazardous_scenarios[],4)</f>
        <v>Occasional</v>
      </c>
      <c r="L9" s="38">
        <f>ROUNDUP((INDEX('Risk Estimation Criteria'!$J$6:$K$10,MATCH('Risk Assessment'!H9,'Risk Estimation Criteria'!$J$6:$J$10,0),2)*INDEX('Risk Estimation Criteria'!$J$6:$K$10,MATCH('Risk Assessment'!K9,'Risk Estimation Criteria'!$J$6:$J$10,0),2))/5,0)*INDEX(ScoredSeverity,MATCH('Risk Assessment'!J9,'Risk Estimation Criteria'!$A$6:$A$10,0),2)</f>
        <v>4</v>
      </c>
      <c r="M9" s="37" t="str">
        <f>INDEX('Risk Estimation Criteria'!$C$26:$G$30,MATCH(INDEX('Risk Estimation Criteria'!$C$16:$G$20,MATCH('Risk Assessment'!K9,'Risk Estimation Criteria'!$C$15:$G$15,0),MATCH('Risk Assessment'!H9,'Risk Estimation Criteria'!$B$16:$B$20,0)),'Risk Estimation Criteria'!$B$26:$B$30,0),MATCH('Risk Assessment'!J9,'Risk Estimation Criteria'!$C$25:$G$25,0))</f>
        <v>Low</v>
      </c>
      <c r="N9" s="35" t="s">
        <v>181</v>
      </c>
      <c r="O9" s="35"/>
    </row>
    <row r="10" spans="1:24" ht="29" x14ac:dyDescent="0.35">
      <c r="A10" s="35" t="s">
        <v>170</v>
      </c>
      <c r="B10" s="35" t="s">
        <v>162</v>
      </c>
      <c r="C10" s="35" t="s">
        <v>163</v>
      </c>
      <c r="D10" s="35" t="s">
        <v>180</v>
      </c>
      <c r="E10" s="35"/>
      <c r="F10" s="35"/>
      <c r="G10" s="51" t="s">
        <v>164</v>
      </c>
      <c r="H10" s="37" t="s">
        <v>21</v>
      </c>
      <c r="I10" s="37"/>
      <c r="J10" s="38" t="str">
        <f>VLOOKUP(G10,Hazardous_scenarios[],3)</f>
        <v>Minor</v>
      </c>
      <c r="K10" s="38" t="str">
        <f>VLOOKUP(G10,Hazardous_scenarios[],4)</f>
        <v>Probable</v>
      </c>
      <c r="L10" s="38">
        <f>ROUNDUP((INDEX('Risk Estimation Criteria'!$J$6:$K$10,MATCH('Risk Assessment'!H10,'Risk Estimation Criteria'!$J$6:$J$10,0),2)*INDEX('Risk Estimation Criteria'!$J$6:$K$10,MATCH('Risk Assessment'!K10,'Risk Estimation Criteria'!$J$6:$J$10,0),2))/5,0)*INDEX(ScoredSeverity,MATCH('Risk Assessment'!J10,'Risk Estimation Criteria'!$A$6:$A$10,0),2)</f>
        <v>6</v>
      </c>
      <c r="M10" s="37" t="str">
        <f>INDEX('Risk Estimation Criteria'!$C$26:$G$30,MATCH(INDEX('Risk Estimation Criteria'!$C$16:$G$20,MATCH('Risk Assessment'!K10,'Risk Estimation Criteria'!$C$15:$G$15,0),MATCH('Risk Assessment'!H10,'Risk Estimation Criteria'!$B$16:$B$20,0)),'Risk Estimation Criteria'!$B$26:$B$30,0),MATCH('Risk Assessment'!J10,'Risk Estimation Criteria'!$C$25:$G$25,0))</f>
        <v>Low</v>
      </c>
      <c r="N10" s="35" t="s">
        <v>182</v>
      </c>
      <c r="O10" s="35"/>
    </row>
    <row r="11" spans="1:24" ht="43.5" x14ac:dyDescent="0.35">
      <c r="A11" s="35" t="s">
        <v>175</v>
      </c>
      <c r="B11" s="35" t="s">
        <v>173</v>
      </c>
      <c r="C11" s="35" t="s">
        <v>183</v>
      </c>
      <c r="D11" s="35" t="s">
        <v>177</v>
      </c>
      <c r="E11" s="35"/>
      <c r="F11" s="35"/>
      <c r="G11" s="51" t="s">
        <v>184</v>
      </c>
      <c r="H11" s="37" t="s">
        <v>18</v>
      </c>
      <c r="I11" s="37"/>
      <c r="J11" s="38" t="str">
        <f>VLOOKUP(G11,Hazardous_scenarios[],3)</f>
        <v>Negligible</v>
      </c>
      <c r="K11" s="38" t="str">
        <f>VLOOKUP(G11,Hazardous_scenarios[],4)</f>
        <v>Probable</v>
      </c>
      <c r="L11" s="38">
        <f>ROUNDUP((INDEX('Risk Estimation Criteria'!$J$6:$K$10,MATCH('Risk Assessment'!H11,'Risk Estimation Criteria'!$J$6:$J$10,0),2)*INDEX('Risk Estimation Criteria'!$J$6:$K$10,MATCH('Risk Assessment'!K11,'Risk Estimation Criteria'!$J$6:$J$10,0),2))/5,0)*INDEX(ScoredSeverity,MATCH('Risk Assessment'!J11,'Risk Estimation Criteria'!$A$6:$A$10,0),2)</f>
        <v>4</v>
      </c>
      <c r="M11" s="37" t="str">
        <f>INDEX('Risk Estimation Criteria'!$C$26:$G$30,MATCH(INDEX('Risk Estimation Criteria'!$C$16:$G$20,MATCH('Risk Assessment'!K11,'Risk Estimation Criteria'!$C$15:$G$15,0),MATCH('Risk Assessment'!H11,'Risk Estimation Criteria'!$B$16:$B$20,0)),'Risk Estimation Criteria'!$B$26:$B$30,0),MATCH('Risk Assessment'!J11,'Risk Estimation Criteria'!$C$25:$G$25,0))</f>
        <v>Low</v>
      </c>
      <c r="N11" s="35" t="s">
        <v>186</v>
      </c>
      <c r="O11" s="35" t="s">
        <v>196</v>
      </c>
    </row>
    <row r="12" spans="1:24" ht="43.5" x14ac:dyDescent="0.35">
      <c r="A12" s="35" t="s">
        <v>176</v>
      </c>
      <c r="B12" s="35" t="s">
        <v>174</v>
      </c>
      <c r="C12" s="35" t="s">
        <v>183</v>
      </c>
      <c r="D12" s="35" t="s">
        <v>178</v>
      </c>
      <c r="E12" s="35"/>
      <c r="F12" s="35"/>
      <c r="G12" s="51" t="s">
        <v>184</v>
      </c>
      <c r="H12" s="37" t="s">
        <v>18</v>
      </c>
      <c r="I12" s="37"/>
      <c r="J12" s="38" t="str">
        <f>VLOOKUP(G12,Hazardous_scenarios[],3)</f>
        <v>Negligible</v>
      </c>
      <c r="K12" s="38" t="str">
        <f>VLOOKUP(G12,Hazardous_scenarios[],4)</f>
        <v>Probable</v>
      </c>
      <c r="L12" s="38">
        <f>ROUNDUP((INDEX('Risk Estimation Criteria'!$J$6:$K$10,MATCH('Risk Assessment'!H12,'Risk Estimation Criteria'!$J$6:$J$10,0),2)*INDEX('Risk Estimation Criteria'!$J$6:$K$10,MATCH('Risk Assessment'!K12,'Risk Estimation Criteria'!$J$6:$J$10,0),2))/5,0)*INDEX(ScoredSeverity,MATCH('Risk Assessment'!J12,'Risk Estimation Criteria'!$A$6:$A$10,0),2)</f>
        <v>4</v>
      </c>
      <c r="M12" s="37" t="str">
        <f>INDEX('Risk Estimation Criteria'!$C$26:$G$30,MATCH(INDEX('Risk Estimation Criteria'!$C$16:$G$20,MATCH('Risk Assessment'!K12,'Risk Estimation Criteria'!$C$15:$G$15,0),MATCH('Risk Assessment'!H12,'Risk Estimation Criteria'!$B$16:$B$20,0)),'Risk Estimation Criteria'!$B$26:$B$30,0),MATCH('Risk Assessment'!J12,'Risk Estimation Criteria'!$C$25:$G$25,0))</f>
        <v>Low</v>
      </c>
      <c r="N12" s="35" t="s">
        <v>187</v>
      </c>
      <c r="O12" s="35" t="s">
        <v>196</v>
      </c>
    </row>
    <row r="13" spans="1:24" x14ac:dyDescent="0.35">
      <c r="H13" s="7"/>
      <c r="I13" s="7"/>
      <c r="J13" s="7"/>
      <c r="K13" s="7"/>
      <c r="L13" s="7"/>
      <c r="M13" s="7"/>
    </row>
    <row r="14" spans="1:24" x14ac:dyDescent="0.35">
      <c r="H14" s="7"/>
      <c r="I14" s="7"/>
      <c r="J14" s="7"/>
      <c r="K14" s="7"/>
      <c r="L14" s="7"/>
      <c r="M14" s="7"/>
    </row>
    <row r="15" spans="1:24" x14ac:dyDescent="0.35">
      <c r="H15" s="7"/>
      <c r="I15" s="7"/>
      <c r="J15" s="7"/>
      <c r="K15" s="7"/>
      <c r="L15" s="7"/>
      <c r="M15" s="7"/>
    </row>
    <row r="16" spans="1:24" x14ac:dyDescent="0.35">
      <c r="H16" s="7"/>
      <c r="I16" s="7"/>
      <c r="J16" s="7"/>
      <c r="K16" s="7"/>
      <c r="L16" s="7"/>
      <c r="M16" s="7"/>
    </row>
    <row r="17" s="7" customFormat="1" x14ac:dyDescent="0.35"/>
  </sheetData>
  <phoneticPr fontId="11" type="noConversion"/>
  <conditionalFormatting sqref="M3:M12">
    <cfRule type="cellIs" dxfId="8" priority="1" operator="equal">
      <formula>"Low"</formula>
    </cfRule>
    <cfRule type="cellIs" dxfId="7" priority="2" operator="equal">
      <formula>"Medium"</formula>
    </cfRule>
    <cfRule type="cellIs" dxfId="6" priority="3" operator="equal">
      <formula>"High"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3BC7E36-C399-469E-A756-716C3A12FD6A}">
          <x14:formula1>
            <xm:f>'Hazardous Scenarios'!$A$5:$A$11</xm:f>
          </x14:formula1>
          <xm:sqref>G5:G6</xm:sqref>
        </x14:dataValidation>
        <x14:dataValidation type="list" allowBlank="1" showInputMessage="1" showErrorMessage="1" xr:uid="{38503790-BD4F-4359-9DF9-861ECDE6645A}">
          <x14:formula1>
            <xm:f>'Risk Estimation Criteria'!$J$6:$J$10</xm:f>
          </x14:formula1>
          <xm:sqref>H3:H12</xm:sqref>
        </x14:dataValidation>
        <x14:dataValidation type="list" allowBlank="1" showInputMessage="1" showErrorMessage="1" xr:uid="{DF7F0D73-2CFD-4F4A-B1D1-7A80B8D73EA9}">
          <x14:formula1>
            <xm:f>'Hazardous Scenarios'!$A$5:$A$20</xm:f>
          </x14:formula1>
          <xm:sqref>G3:G4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DE06-ADA6-44EC-889D-4B99213EE632}">
  <sheetPr>
    <pageSetUpPr fitToPage="1"/>
  </sheetPr>
  <dimension ref="A1:AF34"/>
  <sheetViews>
    <sheetView topLeftCell="A3" zoomScaleNormal="100" zoomScalePageLayoutView="85" workbookViewId="0">
      <selection activeCell="C17" sqref="C17"/>
    </sheetView>
  </sheetViews>
  <sheetFormatPr defaultRowHeight="14.5" x14ac:dyDescent="0.35"/>
  <cols>
    <col min="1" max="1" width="18.453125" customWidth="1"/>
    <col min="2" max="2" width="11.453125" customWidth="1"/>
    <col min="3" max="4" width="13" customWidth="1"/>
    <col min="5" max="5" width="13.81640625" customWidth="1"/>
    <col min="6" max="6" width="13.7265625" customWidth="1"/>
    <col min="7" max="7" width="14" customWidth="1"/>
    <col min="10" max="10" width="12.81640625" customWidth="1"/>
    <col min="11" max="11" width="11.453125" customWidth="1"/>
    <col min="12" max="12" width="66.26953125" customWidth="1"/>
    <col min="16" max="16" width="34.1796875" customWidth="1"/>
    <col min="17" max="17" width="4.7265625" customWidth="1"/>
    <col min="18" max="18" width="11.26953125" bestFit="1" customWidth="1"/>
    <col min="19" max="23" width="16.7265625" customWidth="1"/>
  </cols>
  <sheetData>
    <row r="1" spans="1:23" ht="18.5" x14ac:dyDescent="0.45">
      <c r="A1" s="5" t="s">
        <v>35</v>
      </c>
    </row>
    <row r="2" spans="1:23" ht="18.5" x14ac:dyDescent="0.45">
      <c r="A2" s="5"/>
    </row>
    <row r="4" spans="1:23" x14ac:dyDescent="0.35">
      <c r="A4" s="56" t="s">
        <v>36</v>
      </c>
      <c r="B4" s="56"/>
      <c r="C4" s="56"/>
      <c r="D4" s="56"/>
      <c r="E4" s="56"/>
      <c r="F4" s="56"/>
      <c r="G4" s="56"/>
      <c r="J4" s="57" t="s">
        <v>37</v>
      </c>
      <c r="K4" s="57"/>
      <c r="L4" s="57"/>
    </row>
    <row r="5" spans="1:23" ht="49.5" customHeight="1" x14ac:dyDescent="0.35">
      <c r="A5" s="9" t="s">
        <v>38</v>
      </c>
      <c r="B5" s="9" t="s">
        <v>39</v>
      </c>
      <c r="C5" s="58" t="s">
        <v>40</v>
      </c>
      <c r="D5" s="58"/>
      <c r="E5" s="58"/>
      <c r="F5" s="58"/>
      <c r="G5" s="58"/>
      <c r="J5" s="10" t="s">
        <v>0</v>
      </c>
      <c r="K5" s="10" t="s">
        <v>39</v>
      </c>
      <c r="L5" s="10" t="s">
        <v>26</v>
      </c>
      <c r="S5" s="6"/>
    </row>
    <row r="6" spans="1:23" ht="29" x14ac:dyDescent="0.35">
      <c r="A6" s="11" t="s">
        <v>17</v>
      </c>
      <c r="B6" s="12">
        <v>5</v>
      </c>
      <c r="C6" s="55" t="s">
        <v>41</v>
      </c>
      <c r="D6" s="55"/>
      <c r="E6" s="55"/>
      <c r="F6" s="55"/>
      <c r="G6" s="55"/>
      <c r="J6" s="11" t="s">
        <v>18</v>
      </c>
      <c r="K6" s="12">
        <v>5</v>
      </c>
      <c r="L6" s="13" t="s">
        <v>42</v>
      </c>
      <c r="S6" s="8"/>
      <c r="T6" s="8"/>
      <c r="U6" s="8"/>
      <c r="V6" s="8"/>
      <c r="W6" s="8"/>
    </row>
    <row r="7" spans="1:23" x14ac:dyDescent="0.35">
      <c r="A7" s="11" t="s">
        <v>16</v>
      </c>
      <c r="B7" s="12">
        <v>4</v>
      </c>
      <c r="C7" s="55" t="s">
        <v>43</v>
      </c>
      <c r="D7" s="55"/>
      <c r="E7" s="55"/>
      <c r="F7" s="55"/>
      <c r="G7" s="55"/>
      <c r="J7" s="11" t="s">
        <v>19</v>
      </c>
      <c r="K7" s="12">
        <v>4</v>
      </c>
      <c r="L7" s="13" t="s">
        <v>44</v>
      </c>
      <c r="Q7" s="54"/>
      <c r="R7" s="14"/>
      <c r="S7" s="15"/>
      <c r="T7" s="15"/>
      <c r="U7" s="15"/>
      <c r="V7" s="15"/>
      <c r="W7" s="15"/>
    </row>
    <row r="8" spans="1:23" x14ac:dyDescent="0.35">
      <c r="A8" s="11" t="s">
        <v>15</v>
      </c>
      <c r="B8" s="12">
        <v>3</v>
      </c>
      <c r="C8" s="55" t="s">
        <v>20</v>
      </c>
      <c r="D8" s="55"/>
      <c r="E8" s="55"/>
      <c r="F8" s="55"/>
      <c r="G8" s="55"/>
      <c r="J8" s="11" t="s">
        <v>21</v>
      </c>
      <c r="K8" s="12">
        <v>3</v>
      </c>
      <c r="L8" s="13" t="s">
        <v>45</v>
      </c>
      <c r="Q8" s="54"/>
      <c r="R8" s="14"/>
      <c r="S8" s="15"/>
      <c r="T8" s="15"/>
      <c r="U8" s="15"/>
      <c r="V8" s="15"/>
      <c r="W8" s="15"/>
    </row>
    <row r="9" spans="1:23" x14ac:dyDescent="0.35">
      <c r="A9" s="11" t="s">
        <v>14</v>
      </c>
      <c r="B9" s="12">
        <v>2</v>
      </c>
      <c r="C9" s="55" t="s">
        <v>22</v>
      </c>
      <c r="D9" s="55"/>
      <c r="E9" s="55"/>
      <c r="F9" s="55"/>
      <c r="G9" s="55"/>
      <c r="J9" s="11" t="s">
        <v>23</v>
      </c>
      <c r="K9" s="12">
        <v>2</v>
      </c>
      <c r="L9" s="13" t="s">
        <v>46</v>
      </c>
      <c r="Q9" s="54"/>
      <c r="R9" s="14"/>
      <c r="S9" s="15"/>
      <c r="T9" s="15"/>
      <c r="U9" s="15"/>
      <c r="V9" s="15"/>
      <c r="W9" s="15"/>
    </row>
    <row r="10" spans="1:23" ht="29" x14ac:dyDescent="0.35">
      <c r="A10" s="11" t="s">
        <v>13</v>
      </c>
      <c r="B10" s="12">
        <v>1</v>
      </c>
      <c r="C10" s="55" t="s">
        <v>24</v>
      </c>
      <c r="D10" s="55"/>
      <c r="E10" s="55"/>
      <c r="F10" s="55"/>
      <c r="G10" s="55"/>
      <c r="J10" s="11" t="s">
        <v>25</v>
      </c>
      <c r="K10" s="12">
        <v>1</v>
      </c>
      <c r="L10" s="13" t="s">
        <v>47</v>
      </c>
      <c r="Q10" s="54"/>
      <c r="R10" s="14"/>
      <c r="S10" s="15"/>
      <c r="T10" s="15"/>
      <c r="U10" s="15"/>
      <c r="V10" s="15"/>
      <c r="W10" s="15"/>
    </row>
    <row r="11" spans="1:23" x14ac:dyDescent="0.35">
      <c r="B11" s="8"/>
      <c r="Q11" s="54"/>
      <c r="R11" s="14"/>
      <c r="S11" s="15"/>
      <c r="T11" s="15"/>
      <c r="U11" s="15"/>
      <c r="V11" s="15"/>
      <c r="W11" s="15"/>
    </row>
    <row r="12" spans="1:23" x14ac:dyDescent="0.35">
      <c r="Q12" s="16"/>
      <c r="R12" s="14"/>
      <c r="S12" s="8"/>
      <c r="T12" s="8"/>
      <c r="U12" s="8"/>
      <c r="V12" s="8"/>
      <c r="W12" s="8"/>
    </row>
    <row r="13" spans="1:23" x14ac:dyDescent="0.35">
      <c r="A13" s="60" t="s">
        <v>48</v>
      </c>
      <c r="B13" s="60"/>
      <c r="C13" s="60"/>
      <c r="D13" s="60"/>
      <c r="E13" s="60"/>
      <c r="F13" s="60"/>
      <c r="G13" s="60"/>
      <c r="Q13" s="16"/>
      <c r="R13" s="14"/>
      <c r="S13" s="17"/>
      <c r="T13" s="61"/>
      <c r="U13" s="62"/>
      <c r="V13" s="8"/>
      <c r="W13" s="8"/>
    </row>
    <row r="14" spans="1:23" ht="24" customHeight="1" x14ac:dyDescent="0.35">
      <c r="A14" s="18"/>
      <c r="C14" s="63" t="s">
        <v>49</v>
      </c>
      <c r="D14" s="63"/>
      <c r="E14" s="63"/>
      <c r="F14" s="63"/>
      <c r="G14" s="63"/>
      <c r="Q14" s="16"/>
      <c r="R14" s="14"/>
      <c r="S14" s="17"/>
      <c r="T14" s="19"/>
      <c r="U14" s="20"/>
      <c r="V14" s="8"/>
      <c r="W14" s="8"/>
    </row>
    <row r="15" spans="1:23" ht="24" customHeight="1" x14ac:dyDescent="0.35">
      <c r="B15" s="8"/>
      <c r="C15" s="21" t="s">
        <v>25</v>
      </c>
      <c r="D15" s="21" t="s">
        <v>23</v>
      </c>
      <c r="E15" s="21" t="s">
        <v>21</v>
      </c>
      <c r="F15" s="21" t="s">
        <v>19</v>
      </c>
      <c r="G15" s="21" t="s">
        <v>18</v>
      </c>
      <c r="Q15" s="16"/>
      <c r="R15" s="14"/>
      <c r="S15" s="17"/>
      <c r="T15" s="61"/>
      <c r="U15" s="62"/>
      <c r="V15" s="8"/>
      <c r="W15" s="8"/>
    </row>
    <row r="16" spans="1:23" ht="24" customHeight="1" x14ac:dyDescent="0.35">
      <c r="A16" s="64" t="s">
        <v>50</v>
      </c>
      <c r="B16" s="21" t="s">
        <v>25</v>
      </c>
      <c r="C16" s="22" t="s">
        <v>25</v>
      </c>
      <c r="D16" s="22" t="s">
        <v>25</v>
      </c>
      <c r="E16" s="22" t="s">
        <v>25</v>
      </c>
      <c r="F16" s="22" t="s">
        <v>25</v>
      </c>
      <c r="G16" s="22" t="s">
        <v>25</v>
      </c>
      <c r="Q16" s="16"/>
      <c r="R16" s="14"/>
      <c r="S16" s="17"/>
      <c r="T16" s="61"/>
      <c r="U16" s="62"/>
      <c r="V16" s="8"/>
      <c r="W16" s="8"/>
    </row>
    <row r="17" spans="1:32" ht="24" customHeight="1" x14ac:dyDescent="0.35">
      <c r="A17" s="64"/>
      <c r="B17" s="21" t="s">
        <v>23</v>
      </c>
      <c r="C17" s="22" t="s">
        <v>25</v>
      </c>
      <c r="D17" s="22" t="s">
        <v>25</v>
      </c>
      <c r="E17" s="23" t="s">
        <v>23</v>
      </c>
      <c r="F17" s="23" t="s">
        <v>23</v>
      </c>
      <c r="G17" s="23" t="s">
        <v>23</v>
      </c>
    </row>
    <row r="18" spans="1:32" ht="24" customHeight="1" x14ac:dyDescent="0.35">
      <c r="A18" s="64"/>
      <c r="B18" s="21" t="s">
        <v>21</v>
      </c>
      <c r="C18" s="22" t="s">
        <v>25</v>
      </c>
      <c r="D18" s="23" t="s">
        <v>23</v>
      </c>
      <c r="E18" s="23" t="s">
        <v>23</v>
      </c>
      <c r="F18" s="24" t="s">
        <v>21</v>
      </c>
      <c r="G18" s="24" t="s">
        <v>21</v>
      </c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</row>
    <row r="19" spans="1:32" ht="24" customHeight="1" x14ac:dyDescent="0.35">
      <c r="A19" s="64"/>
      <c r="B19" s="21" t="s">
        <v>19</v>
      </c>
      <c r="C19" s="22" t="s">
        <v>25</v>
      </c>
      <c r="D19" s="23" t="s">
        <v>23</v>
      </c>
      <c r="E19" s="24" t="s">
        <v>21</v>
      </c>
      <c r="F19" s="25" t="s">
        <v>19</v>
      </c>
      <c r="G19" s="25" t="s">
        <v>19</v>
      </c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</row>
    <row r="20" spans="1:32" ht="24" customHeight="1" x14ac:dyDescent="0.35">
      <c r="A20" s="64"/>
      <c r="B20" s="21" t="s">
        <v>18</v>
      </c>
      <c r="C20" s="22" t="s">
        <v>25</v>
      </c>
      <c r="D20" s="23" t="s">
        <v>23</v>
      </c>
      <c r="E20" s="24" t="s">
        <v>21</v>
      </c>
      <c r="F20" s="25" t="s">
        <v>19</v>
      </c>
      <c r="G20" s="26" t="s">
        <v>18</v>
      </c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</row>
    <row r="21" spans="1:32" x14ac:dyDescent="0.35">
      <c r="A21" s="18"/>
      <c r="B21" s="8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</row>
    <row r="22" spans="1:32" x14ac:dyDescent="0.35">
      <c r="A22" s="18"/>
    </row>
    <row r="23" spans="1:32" x14ac:dyDescent="0.35">
      <c r="A23" s="57" t="s">
        <v>51</v>
      </c>
      <c r="B23" s="57"/>
      <c r="C23" s="57"/>
      <c r="D23" s="57"/>
      <c r="E23" s="57"/>
      <c r="F23" s="57"/>
      <c r="G23" s="57"/>
    </row>
    <row r="24" spans="1:32" ht="23.25" customHeight="1" x14ac:dyDescent="0.35">
      <c r="A24" s="28"/>
      <c r="B24" s="28"/>
      <c r="C24" s="59" t="s">
        <v>4</v>
      </c>
      <c r="D24" s="59"/>
      <c r="E24" s="59"/>
      <c r="F24" s="59"/>
      <c r="G24" s="59"/>
    </row>
    <row r="25" spans="1:32" ht="23.25" customHeight="1" x14ac:dyDescent="0.35">
      <c r="A25" s="28"/>
      <c r="B25" s="28"/>
      <c r="C25" s="21" t="s">
        <v>13</v>
      </c>
      <c r="D25" s="21" t="s">
        <v>14</v>
      </c>
      <c r="E25" s="21" t="s">
        <v>15</v>
      </c>
      <c r="F25" s="21" t="s">
        <v>16</v>
      </c>
      <c r="G25" s="21" t="s">
        <v>17</v>
      </c>
    </row>
    <row r="26" spans="1:32" ht="23.25" customHeight="1" x14ac:dyDescent="0.35">
      <c r="A26" s="58" t="s">
        <v>52</v>
      </c>
      <c r="B26" s="21" t="s">
        <v>18</v>
      </c>
      <c r="C26" s="29" t="s">
        <v>53</v>
      </c>
      <c r="D26" s="30" t="s">
        <v>54</v>
      </c>
      <c r="E26" s="31" t="s">
        <v>55</v>
      </c>
      <c r="F26" s="31" t="s">
        <v>55</v>
      </c>
      <c r="G26" s="31" t="s">
        <v>55</v>
      </c>
    </row>
    <row r="27" spans="1:32" ht="23.25" customHeight="1" x14ac:dyDescent="0.35">
      <c r="A27" s="58"/>
      <c r="B27" s="21" t="s">
        <v>19</v>
      </c>
      <c r="C27" s="29" t="s">
        <v>53</v>
      </c>
      <c r="D27" s="30" t="s">
        <v>54</v>
      </c>
      <c r="E27" s="30" t="s">
        <v>54</v>
      </c>
      <c r="F27" s="31" t="s">
        <v>55</v>
      </c>
      <c r="G27" s="31" t="s">
        <v>55</v>
      </c>
    </row>
    <row r="28" spans="1:32" ht="23.25" customHeight="1" x14ac:dyDescent="0.35">
      <c r="A28" s="58"/>
      <c r="B28" s="21" t="s">
        <v>21</v>
      </c>
      <c r="C28" s="29" t="s">
        <v>53</v>
      </c>
      <c r="D28" s="29" t="s">
        <v>53</v>
      </c>
      <c r="E28" s="30" t="s">
        <v>54</v>
      </c>
      <c r="F28" s="30" t="s">
        <v>54</v>
      </c>
      <c r="G28" s="31" t="s">
        <v>55</v>
      </c>
    </row>
    <row r="29" spans="1:32" ht="23.25" customHeight="1" x14ac:dyDescent="0.35">
      <c r="A29" s="58"/>
      <c r="B29" s="21" t="s">
        <v>23</v>
      </c>
      <c r="C29" s="29" t="s">
        <v>53</v>
      </c>
      <c r="D29" s="29" t="s">
        <v>53</v>
      </c>
      <c r="E29" s="29" t="s">
        <v>53</v>
      </c>
      <c r="F29" s="30" t="s">
        <v>54</v>
      </c>
      <c r="G29" s="31" t="s">
        <v>55</v>
      </c>
    </row>
    <row r="30" spans="1:32" ht="23.25" customHeight="1" x14ac:dyDescent="0.35">
      <c r="A30" s="58"/>
      <c r="B30" s="21" t="s">
        <v>25</v>
      </c>
      <c r="C30" s="29" t="s">
        <v>53</v>
      </c>
      <c r="D30" s="29" t="s">
        <v>53</v>
      </c>
      <c r="E30" s="29" t="s">
        <v>53</v>
      </c>
      <c r="F30" s="29" t="s">
        <v>53</v>
      </c>
      <c r="G30" s="30" t="s">
        <v>54</v>
      </c>
    </row>
    <row r="31" spans="1:32" x14ac:dyDescent="0.35">
      <c r="A31" s="16"/>
      <c r="B31" s="14"/>
      <c r="C31" s="8"/>
      <c r="D31" s="8"/>
      <c r="E31" s="8"/>
      <c r="F31" s="8"/>
      <c r="G31" s="8"/>
      <c r="H31" s="8"/>
    </row>
    <row r="34" spans="3:3" x14ac:dyDescent="0.35">
      <c r="C34" s="32"/>
    </row>
  </sheetData>
  <mergeCells count="19">
    <mergeCell ref="A23:G23"/>
    <mergeCell ref="C24:G24"/>
    <mergeCell ref="A26:A30"/>
    <mergeCell ref="A13:G13"/>
    <mergeCell ref="T13:U13"/>
    <mergeCell ref="C14:G14"/>
    <mergeCell ref="T15:U15"/>
    <mergeCell ref="A16:A20"/>
    <mergeCell ref="T16:U16"/>
    <mergeCell ref="S18:AF20"/>
    <mergeCell ref="Q7:Q11"/>
    <mergeCell ref="C8:G8"/>
    <mergeCell ref="C9:G9"/>
    <mergeCell ref="C10:G10"/>
    <mergeCell ref="A4:G4"/>
    <mergeCell ref="J4:L4"/>
    <mergeCell ref="C5:G5"/>
    <mergeCell ref="C6:G6"/>
    <mergeCell ref="C7:G7"/>
  </mergeCells>
  <conditionalFormatting sqref="C26:G30">
    <cfRule type="beginsWith" dxfId="5" priority="1" operator="beginsWith" text="Medium">
      <formula>LEFT(C26,LEN("Medium"))="Medium"</formula>
    </cfRule>
    <cfRule type="beginsWith" dxfId="4" priority="2" operator="beginsWith" text="Acceptable">
      <formula>LEFT(C26,LEN("Acceptable"))="Acceptable"</formula>
    </cfRule>
    <cfRule type="beginsWith" dxfId="3" priority="3" operator="beginsWith" text="Unacceptable">
      <formula>LEFT(C26,LEN("Unacceptable"))="Unacceptable"</formula>
    </cfRule>
  </conditionalFormatting>
  <conditionalFormatting sqref="S7:W12 V13:W16 C31:H31">
    <cfRule type="beginsWith" dxfId="2" priority="4" operator="beginsWith" text="Medium">
      <formula>LEFT(C7,LEN("Medium"))="Medium"</formula>
    </cfRule>
    <cfRule type="beginsWith" dxfId="1" priority="5" operator="beginsWith" text="Acceptable">
      <formula>LEFT(C7,LEN("Acceptable"))="Acceptable"</formula>
    </cfRule>
    <cfRule type="beginsWith" dxfId="0" priority="6" operator="beginsWith" text="Unacceptable">
      <formula>LEFT(C7,LEN("Unacceptable"))="Unacceptable"</formula>
    </cfRule>
  </conditionalFormatting>
  <pageMargins left="0.7" right="0.7" top="0.75" bottom="0.75" header="0.3" footer="0.3"/>
  <pageSetup paperSize="8" scale="27" orientation="landscape" r:id="rId1"/>
  <headerFooter>
    <oddFooter>&amp;L&amp;F&amp;C&amp;A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3E16-EC3D-4974-B538-EE80D8B710C4}">
  <dimension ref="A1:B15"/>
  <sheetViews>
    <sheetView workbookViewId="0">
      <selection activeCell="C13" sqref="C13"/>
    </sheetView>
  </sheetViews>
  <sheetFormatPr defaultColWidth="8.81640625" defaultRowHeight="14.5" x14ac:dyDescent="0.35"/>
  <cols>
    <col min="1" max="1" width="25.1796875" style="40" customWidth="1"/>
    <col min="2" max="2" width="37.26953125" style="40" customWidth="1"/>
    <col min="3" max="16384" width="8.81640625" style="40"/>
  </cols>
  <sheetData>
    <row r="1" spans="1:2" ht="18.5" x14ac:dyDescent="0.45">
      <c r="A1" s="45" t="s">
        <v>118</v>
      </c>
    </row>
    <row r="2" spans="1:2" x14ac:dyDescent="0.35">
      <c r="A2" s="40" t="s">
        <v>125</v>
      </c>
    </row>
    <row r="4" spans="1:2" ht="18.5" x14ac:dyDescent="0.35">
      <c r="A4" s="44" t="s">
        <v>67</v>
      </c>
      <c r="B4" s="44" t="s">
        <v>68</v>
      </c>
    </row>
    <row r="5" spans="1:2" x14ac:dyDescent="0.35">
      <c r="A5" s="43" t="s">
        <v>69</v>
      </c>
      <c r="B5" s="43" t="s">
        <v>70</v>
      </c>
    </row>
    <row r="6" spans="1:2" x14ac:dyDescent="0.35">
      <c r="A6" s="43" t="s">
        <v>71</v>
      </c>
      <c r="B6" s="43" t="s">
        <v>72</v>
      </c>
    </row>
    <row r="7" spans="1:2" x14ac:dyDescent="0.35">
      <c r="A7" s="43" t="s">
        <v>73</v>
      </c>
      <c r="B7" s="43" t="s">
        <v>74</v>
      </c>
    </row>
    <row r="8" spans="1:2" x14ac:dyDescent="0.35">
      <c r="A8" s="43" t="s">
        <v>75</v>
      </c>
      <c r="B8" s="43" t="s">
        <v>76</v>
      </c>
    </row>
    <row r="9" spans="1:2" x14ac:dyDescent="0.35">
      <c r="A9" s="43" t="s">
        <v>77</v>
      </c>
      <c r="B9" s="43" t="s">
        <v>78</v>
      </c>
    </row>
    <row r="10" spans="1:2" x14ac:dyDescent="0.35">
      <c r="A10" s="43" t="s">
        <v>79</v>
      </c>
      <c r="B10" s="43" t="s">
        <v>80</v>
      </c>
    </row>
    <row r="11" spans="1:2" x14ac:dyDescent="0.35">
      <c r="A11" s="43" t="s">
        <v>81</v>
      </c>
      <c r="B11" s="43" t="s">
        <v>82</v>
      </c>
    </row>
    <row r="12" spans="1:2" x14ac:dyDescent="0.35">
      <c r="A12" s="43" t="s">
        <v>83</v>
      </c>
      <c r="B12" s="43" t="s">
        <v>84</v>
      </c>
    </row>
    <row r="13" spans="1:2" x14ac:dyDescent="0.35">
      <c r="A13" s="43" t="s">
        <v>85</v>
      </c>
      <c r="B13" s="43" t="s">
        <v>84</v>
      </c>
    </row>
    <row r="14" spans="1:2" x14ac:dyDescent="0.35">
      <c r="A14" s="43" t="s">
        <v>86</v>
      </c>
      <c r="B14" s="43" t="s">
        <v>87</v>
      </c>
    </row>
    <row r="15" spans="1:2" x14ac:dyDescent="0.35">
      <c r="A15" s="43" t="s">
        <v>88</v>
      </c>
      <c r="B15" s="43" t="s">
        <v>87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DF63-6E7E-4783-A228-2E6A4BB2C9CA}">
  <dimension ref="A1:D22"/>
  <sheetViews>
    <sheetView workbookViewId="0">
      <selection activeCell="C16" sqref="C16"/>
    </sheetView>
  </sheetViews>
  <sheetFormatPr defaultColWidth="8.81640625" defaultRowHeight="14.5" x14ac:dyDescent="0.35"/>
  <cols>
    <col min="1" max="1" width="38.54296875" style="48" customWidth="1"/>
    <col min="2" max="2" width="76" style="48" customWidth="1"/>
    <col min="3" max="3" width="11.7265625" style="48" bestFit="1" customWidth="1"/>
    <col min="4" max="4" width="16.81640625" style="48" customWidth="1"/>
    <col min="5" max="16384" width="8.81640625" style="48"/>
  </cols>
  <sheetData>
    <row r="1" spans="1:4" ht="18.5" x14ac:dyDescent="0.35">
      <c r="A1" s="47" t="s">
        <v>108</v>
      </c>
    </row>
    <row r="2" spans="1:4" x14ac:dyDescent="0.35">
      <c r="A2" s="48" t="s">
        <v>117</v>
      </c>
    </row>
    <row r="4" spans="1:4" x14ac:dyDescent="0.35">
      <c r="A4" s="46" t="s">
        <v>28</v>
      </c>
      <c r="B4" s="46" t="s">
        <v>26</v>
      </c>
      <c r="C4" s="46" t="s">
        <v>4</v>
      </c>
      <c r="D4" s="46" t="s">
        <v>27</v>
      </c>
    </row>
    <row r="5" spans="1:4" x14ac:dyDescent="0.35">
      <c r="A5" s="46" t="s">
        <v>95</v>
      </c>
      <c r="B5" s="46" t="s">
        <v>129</v>
      </c>
      <c r="C5" s="46" t="s">
        <v>13</v>
      </c>
      <c r="D5" s="46" t="s">
        <v>18</v>
      </c>
    </row>
    <row r="6" spans="1:4" ht="29" x14ac:dyDescent="0.35">
      <c r="A6" s="46" t="s">
        <v>96</v>
      </c>
      <c r="B6" s="46" t="s">
        <v>130</v>
      </c>
      <c r="C6" s="46" t="s">
        <v>13</v>
      </c>
      <c r="D6" s="46" t="s">
        <v>19</v>
      </c>
    </row>
    <row r="7" spans="1:4" x14ac:dyDescent="0.35">
      <c r="A7" s="46" t="s">
        <v>151</v>
      </c>
      <c r="B7" s="46" t="s">
        <v>147</v>
      </c>
      <c r="C7" s="46" t="s">
        <v>13</v>
      </c>
      <c r="D7" s="46" t="s">
        <v>19</v>
      </c>
    </row>
    <row r="8" spans="1:4" x14ac:dyDescent="0.35">
      <c r="A8" s="46" t="s">
        <v>152</v>
      </c>
      <c r="B8" s="46" t="s">
        <v>148</v>
      </c>
      <c r="C8" s="46" t="s">
        <v>13</v>
      </c>
      <c r="D8" s="46" t="s">
        <v>19</v>
      </c>
    </row>
    <row r="9" spans="1:4" ht="29" x14ac:dyDescent="0.35">
      <c r="A9" s="46" t="s">
        <v>153</v>
      </c>
      <c r="B9" s="46" t="s">
        <v>149</v>
      </c>
      <c r="C9" s="46" t="s">
        <v>13</v>
      </c>
      <c r="D9" s="46" t="s">
        <v>19</v>
      </c>
    </row>
    <row r="10" spans="1:4" ht="29" x14ac:dyDescent="0.35">
      <c r="A10" s="46" t="s">
        <v>154</v>
      </c>
      <c r="B10" s="46" t="s">
        <v>150</v>
      </c>
      <c r="C10" s="46" t="s">
        <v>13</v>
      </c>
      <c r="D10" s="46" t="s">
        <v>19</v>
      </c>
    </row>
    <row r="11" spans="1:4" x14ac:dyDescent="0.35">
      <c r="A11" s="46" t="s">
        <v>127</v>
      </c>
      <c r="B11" s="46" t="s">
        <v>128</v>
      </c>
      <c r="C11" s="46" t="s">
        <v>15</v>
      </c>
      <c r="D11" s="46" t="s">
        <v>21</v>
      </c>
    </row>
    <row r="12" spans="1:4" x14ac:dyDescent="0.35">
      <c r="A12" s="46" t="s">
        <v>142</v>
      </c>
      <c r="B12" s="46" t="s">
        <v>143</v>
      </c>
      <c r="C12" s="46" t="s">
        <v>14</v>
      </c>
      <c r="D12" s="46" t="s">
        <v>19</v>
      </c>
    </row>
    <row r="13" spans="1:4" ht="29" x14ac:dyDescent="0.35">
      <c r="A13" s="46" t="s">
        <v>131</v>
      </c>
      <c r="B13" s="46" t="s">
        <v>139</v>
      </c>
      <c r="C13" s="46" t="s">
        <v>16</v>
      </c>
      <c r="D13" s="46" t="s">
        <v>19</v>
      </c>
    </row>
    <row r="14" spans="1:4" ht="29" x14ac:dyDescent="0.35">
      <c r="A14" s="46" t="s">
        <v>132</v>
      </c>
      <c r="B14" s="46" t="s">
        <v>140</v>
      </c>
      <c r="C14" s="46" t="s">
        <v>16</v>
      </c>
      <c r="D14" s="46" t="s">
        <v>19</v>
      </c>
    </row>
    <row r="15" spans="1:4" x14ac:dyDescent="0.35">
      <c r="A15" s="46" t="s">
        <v>133</v>
      </c>
      <c r="B15" s="46" t="s">
        <v>138</v>
      </c>
      <c r="C15" s="46" t="s">
        <v>15</v>
      </c>
      <c r="D15" s="46" t="s">
        <v>19</v>
      </c>
    </row>
    <row r="16" spans="1:4" x14ac:dyDescent="0.35">
      <c r="A16" s="46" t="s">
        <v>134</v>
      </c>
      <c r="B16" s="46" t="s">
        <v>141</v>
      </c>
      <c r="C16" s="46" t="s">
        <v>14</v>
      </c>
      <c r="D16" s="46" t="s">
        <v>19</v>
      </c>
    </row>
    <row r="17" spans="1:4" ht="29" x14ac:dyDescent="0.35">
      <c r="A17" s="46" t="s">
        <v>135</v>
      </c>
      <c r="B17" s="46" t="s">
        <v>144</v>
      </c>
      <c r="C17" s="46" t="s">
        <v>16</v>
      </c>
      <c r="D17" s="46" t="s">
        <v>23</v>
      </c>
    </row>
    <row r="18" spans="1:4" x14ac:dyDescent="0.35">
      <c r="A18" s="46" t="s">
        <v>145</v>
      </c>
      <c r="B18" s="46" t="s">
        <v>146</v>
      </c>
      <c r="C18" s="46" t="s">
        <v>15</v>
      </c>
      <c r="D18" s="46" t="s">
        <v>21</v>
      </c>
    </row>
    <row r="19" spans="1:4" x14ac:dyDescent="0.35">
      <c r="A19" s="46" t="s">
        <v>136</v>
      </c>
      <c r="B19" s="46" t="s">
        <v>137</v>
      </c>
      <c r="C19" s="46" t="s">
        <v>15</v>
      </c>
      <c r="D19" s="46" t="s">
        <v>21</v>
      </c>
    </row>
    <row r="20" spans="1:4" x14ac:dyDescent="0.35">
      <c r="A20" s="46" t="s">
        <v>155</v>
      </c>
      <c r="B20" s="46" t="s">
        <v>156</v>
      </c>
      <c r="C20" s="46" t="s">
        <v>14</v>
      </c>
      <c r="D20" s="46" t="s">
        <v>21</v>
      </c>
    </row>
    <row r="21" spans="1:4" x14ac:dyDescent="0.35">
      <c r="A21" s="52" t="s">
        <v>164</v>
      </c>
      <c r="B21" s="52" t="s">
        <v>165</v>
      </c>
      <c r="C21" s="52" t="s">
        <v>14</v>
      </c>
      <c r="D21" s="52" t="s">
        <v>19</v>
      </c>
    </row>
    <row r="22" spans="1:4" x14ac:dyDescent="0.35">
      <c r="A22" s="50" t="s">
        <v>184</v>
      </c>
      <c r="B22" s="50" t="s">
        <v>185</v>
      </c>
      <c r="C22" s="50" t="s">
        <v>13</v>
      </c>
      <c r="D22" s="50" t="s">
        <v>19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46A089-2D3F-4231-8DC0-4E37DD69535D}">
          <x14:formula1>
            <xm:f>'Risk Estimation Criteria'!$A$6:$A$10</xm:f>
          </x14:formula1>
          <xm:sqref>C5:C22</xm:sqref>
        </x14:dataValidation>
        <x14:dataValidation type="list" allowBlank="1" showInputMessage="1" showErrorMessage="1" xr:uid="{F2BDA03C-A822-4978-A7FA-1B70A09BB81D}">
          <x14:formula1>
            <xm:f>'Risk Estimation Criteria'!$J$6:$J$10</xm:f>
          </x14:formula1>
          <xm:sqref>D5:D22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Introduction</vt:lpstr>
      <vt:lpstr>Risk Assessment</vt:lpstr>
      <vt:lpstr>Risk Estimation Criteria</vt:lpstr>
      <vt:lpstr>HAZOP checklist</vt:lpstr>
      <vt:lpstr>Hazardous Scenarios</vt:lpstr>
      <vt:lpstr>'Risk Estimation Criteria'!Print_Area</vt:lpstr>
      <vt:lpstr>Probability</vt:lpstr>
      <vt:lpstr>RiskTable</vt:lpstr>
      <vt:lpstr>ScoredProbability</vt:lpstr>
      <vt:lpstr>ScoredSeverity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Henrywood</dc:creator>
  <cp:lastModifiedBy>Noah Gassas</cp:lastModifiedBy>
  <dcterms:created xsi:type="dcterms:W3CDTF">2022-02-14T16:02:28Z</dcterms:created>
  <dcterms:modified xsi:type="dcterms:W3CDTF">2025-01-11T17:22:36Z</dcterms:modified>
</cp:coreProperties>
</file>